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u/Git/Health_Insurance_Sim/"/>
    </mc:Choice>
  </mc:AlternateContent>
  <xr:revisionPtr revIDLastSave="0" documentId="8_{D23261ED-BE11-164B-B406-CE7B3812A9E2}" xr6:coauthVersionLast="47" xr6:coauthVersionMax="47" xr10:uidLastSave="{00000000-0000-0000-0000-000000000000}"/>
  <bookViews>
    <workbookView xWindow="0" yWindow="500" windowWidth="28800" windowHeight="16240" xr2:uid="{F6F7CCB2-3530-C445-A614-1A88D2B30731}"/>
  </bookViews>
  <sheets>
    <sheet name="InputParms" sheetId="1" r:id="rId1"/>
  </sheets>
  <definedNames>
    <definedName name="_AtRisk_ReportsSetting_ReportGraphOptions" hidden="1">"REP:VER:8.8.1GRA:OUT:00INS:00SUM:T00DET:T00SCE:02SC1:33DAT:2|TRUE,.75,1|TRUE,0,.25|TRUE,.9,1SE1:38DAT:3,10,2,.95,5,16,FALSE,0,TRUE,TRUE,TRUESE2:38DAT:3,10,2,.95,5,16,FALSE,0,TRUE,TRUE,TRUETSI:002SDA:FF"</definedName>
    <definedName name="_AtRisk_ReportsSetting_ReportMulitSelections" hidden="1">"REP:VER:8.8.1MUL:OUT:T23INS:T11SUM:T10DET:T10SEN:T11SCE:T11TEM:FSDA:T10"</definedName>
    <definedName name="_AtRisk_ReportsSetting_ReportOptions" hidden="1">"REP:VER:8.8.1OPT:RAP:01RWE:01RLS:04ROT:00RST:00RRT:01AGR:FAFN:113DAT:C:\Users\weedy\Dropbox\Shared with Katy\Job Stuff\2024\FHEvTACAIR Respin\Report-2024 Monte Carlo for FHE v TA.pdfOGR:T"</definedName>
    <definedName name="_AtRisk_ReportsSetting_ReportSelectedRangeOutputs" hidden="1">InputParms!#REF!,InputParms!#REF!,InputParms!#REF!,InputParms!#REF!,InputParms!#REF!,InputParms!#REF!,InputParms!#REF!,InputParms!#REF!</definedName>
    <definedName name="_AtRisk_ReportsSetting_ReportSelectedSimulationsDET" hidden="1">"AQA="</definedName>
    <definedName name="_AtRisk_ReportsSetting_ReportSelectedSimulationsINS" hidden="1">"AQA="</definedName>
    <definedName name="_AtRisk_ReportsSetting_ReportSelectedSimulationsOUT" hidden="1">"AQA="</definedName>
    <definedName name="_AtRisk_ReportsSetting_ReportSelectedSimulationsSCE" hidden="1">"AQA="</definedName>
    <definedName name="_AtRisk_ReportsSetting_ReportSelectedSimulationsSDA" hidden="1">"AQA="</definedName>
    <definedName name="_AtRisk_ReportsSetting_ReportSelectedSimulationsSEN" hidden="1">"AQA="</definedName>
    <definedName name="_AtRisk_ReportsSetting_ReportSelectedSimulationsSUM" hidden="1">"AQA="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"73WWX44FDVZ5V97CHF4G6E9U"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"2"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23" i="1"/>
  <c r="M24" i="1"/>
  <c r="M26" i="1"/>
  <c r="M27" i="1"/>
  <c r="M28" i="1" a="1"/>
  <c r="M28" i="1" s="1"/>
  <c r="M29" i="1" a="1"/>
  <c r="M29" i="1" s="1"/>
  <c r="M30" i="1" s="1"/>
  <c r="I16" i="1"/>
  <c r="I23" i="1" s="1"/>
  <c r="I28" i="1" a="1"/>
  <c r="I28" i="1" s="1"/>
  <c r="I29" i="1" a="1"/>
  <c r="I29" i="1" s="1"/>
  <c r="I30" i="1" s="1"/>
  <c r="M32" i="1" l="1"/>
  <c r="M33" i="1" s="1"/>
  <c r="M34" i="1" s="1"/>
  <c r="M36" i="1" s="1"/>
  <c r="M31" i="1"/>
  <c r="I27" i="1"/>
  <c r="I24" i="1"/>
  <c r="I26" i="1" s="1"/>
  <c r="I31" i="1"/>
  <c r="I32" i="1"/>
  <c r="I33" i="1" s="1"/>
  <c r="I34" i="1" s="1"/>
  <c r="I36" i="1" s="1"/>
  <c r="O16" i="1" l="1"/>
  <c r="L16" i="1"/>
  <c r="G16" i="1"/>
  <c r="G25" i="1" l="1"/>
  <c r="B20" i="1" a="1"/>
  <c r="B20" i="1" s="1"/>
  <c r="O30" i="1" a="1"/>
  <c r="O30" i="1" s="1"/>
  <c r="O31" i="1" s="1"/>
  <c r="O32" i="1" s="1"/>
  <c r="G30" i="1" a="1"/>
  <c r="G30" i="1" s="1"/>
  <c r="O29" i="1"/>
  <c r="N30" i="1" a="1"/>
  <c r="N30" i="1" s="1"/>
  <c r="N31" i="1" s="1"/>
  <c r="N29" i="1" a="1"/>
  <c r="N29" i="1" s="1"/>
  <c r="L30" i="1" a="1"/>
  <c r="L30" i="1" s="1"/>
  <c r="L31" i="1" s="1"/>
  <c r="L29" i="1" a="1"/>
  <c r="L29" i="1" s="1"/>
  <c r="J30" i="1" a="1"/>
  <c r="J30" i="1" s="1"/>
  <c r="J31" i="1" s="1"/>
  <c r="J29" i="1" a="1"/>
  <c r="J29" i="1" s="1"/>
  <c r="H29" i="1" a="1"/>
  <c r="H29" i="1" s="1"/>
  <c r="H30" i="1" a="1"/>
  <c r="H30" i="1" s="1"/>
  <c r="H31" i="1" s="1"/>
  <c r="H32" i="1" s="1"/>
  <c r="G29" i="1"/>
  <c r="N16" i="1"/>
  <c r="N28" i="1" s="1"/>
  <c r="L28" i="1"/>
  <c r="O25" i="1"/>
  <c r="O27" i="1" s="1"/>
  <c r="J16" i="1"/>
  <c r="J28" i="1" s="1"/>
  <c r="H16" i="1"/>
  <c r="H28" i="1" s="1"/>
  <c r="L32" i="1" l="1"/>
  <c r="L33" i="1" s="1"/>
  <c r="L34" i="1" s="1"/>
  <c r="L35" i="1" s="1"/>
  <c r="L37" i="1" s="1"/>
  <c r="O33" i="1"/>
  <c r="O34" i="1" s="1"/>
  <c r="O35" i="1" s="1"/>
  <c r="O37" i="1" s="1"/>
  <c r="N32" i="1"/>
  <c r="N33" i="1" s="1"/>
  <c r="N34" i="1" s="1"/>
  <c r="N35" i="1" s="1"/>
  <c r="N37" i="1" s="1"/>
  <c r="J32" i="1"/>
  <c r="J33" i="1" s="1"/>
  <c r="J34" i="1" s="1"/>
  <c r="J35" i="1" s="1"/>
  <c r="J37" i="1" s="1"/>
  <c r="G31" i="1"/>
  <c r="H33" i="1"/>
  <c r="H34" i="1" s="1"/>
  <c r="H35" i="1" s="1"/>
  <c r="H37" i="1" s="1"/>
  <c r="G24" i="1"/>
  <c r="G27" i="1"/>
  <c r="O28" i="1"/>
  <c r="H24" i="1"/>
  <c r="H25" i="1"/>
  <c r="H27" i="1" s="1"/>
  <c r="G28" i="1"/>
  <c r="J24" i="1"/>
  <c r="J25" i="1"/>
  <c r="J27" i="1" s="1"/>
  <c r="L24" i="1"/>
  <c r="L25" i="1"/>
  <c r="L27" i="1" s="1"/>
  <c r="N24" i="1"/>
  <c r="N25" i="1"/>
  <c r="N27" i="1" s="1"/>
  <c r="O24" i="1"/>
  <c r="G32" i="1" l="1"/>
  <c r="G33" i="1" s="1"/>
  <c r="G34" i="1" s="1"/>
  <c r="G35" i="1" s="1"/>
  <c r="G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Beau Griffith</author>
  </authors>
  <commentList>
    <comment ref="L16" authorId="0" shapeId="0" xr:uid="{5DA423FA-E372-A04A-A52F-613C9678945A}">
      <text>
        <r>
          <rPr>
            <b/>
            <sz val="9"/>
            <color rgb="FF000000"/>
            <rFont val="Tahoma"/>
            <family val="2"/>
          </rPr>
          <t>These went up SUBSTANTIALLY from 2024!! More than 20%??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<sst xmlns="http://schemas.openxmlformats.org/spreadsheetml/2006/main" count="56" uniqueCount="51">
  <si>
    <t>Issue</t>
  </si>
  <si>
    <t>Raw Cost</t>
  </si>
  <si>
    <t>OAP HDHPQ</t>
  </si>
  <si>
    <t>OAP Low 5500</t>
  </si>
  <si>
    <t>OAP MID (2000)</t>
  </si>
  <si>
    <t>OAP 500</t>
  </si>
  <si>
    <t>Platinum</t>
  </si>
  <si>
    <t>Gold</t>
  </si>
  <si>
    <t>Silver</t>
  </si>
  <si>
    <t xml:space="preserve">HSA </t>
  </si>
  <si>
    <t>Routine PCP Visit</t>
  </si>
  <si>
    <t>Specialist Visit</t>
  </si>
  <si>
    <t>Mental Health Visit</t>
  </si>
  <si>
    <t>Chiropractor Visit</t>
  </si>
  <si>
    <t>Generic Script</t>
  </si>
  <si>
    <t>Formula Brand Name</t>
  </si>
  <si>
    <t>Non-Form Brand Name</t>
  </si>
  <si>
    <t>Urgent Care</t>
  </si>
  <si>
    <t>ER Visit</t>
  </si>
  <si>
    <t>Lab Services</t>
  </si>
  <si>
    <t>Pregnancy &amp; Delivery</t>
  </si>
  <si>
    <t>CATASTROPHE</t>
  </si>
  <si>
    <t>Outpatient Surgery</t>
  </si>
  <si>
    <t>Premium (Annual)</t>
  </si>
  <si>
    <t>Deductible Fam</t>
  </si>
  <si>
    <t>Deductible Individual</t>
  </si>
  <si>
    <t>Max OOP Fam</t>
  </si>
  <si>
    <t>Max OOP Individual</t>
  </si>
  <si>
    <t>Max</t>
  </si>
  <si>
    <t>Min</t>
  </si>
  <si>
    <t>Script Stops after First Empty Row</t>
  </si>
  <si>
    <t>Script Ends after 5 Rows</t>
  </si>
  <si>
    <t>EV (Raw)</t>
  </si>
  <si>
    <t>Output Max</t>
  </si>
  <si>
    <t>Diff</t>
  </si>
  <si>
    <t>Member "A" Average</t>
  </si>
  <si>
    <t>Member "B" Average</t>
  </si>
  <si>
    <t>Deductible Applying Costs</t>
  </si>
  <si>
    <t>Hit Fam Deductible?</t>
  </si>
  <si>
    <t>Our Cost After Deductible</t>
  </si>
  <si>
    <t>Hit Family OOP Max?</t>
  </si>
  <si>
    <t>Total Costs</t>
  </si>
  <si>
    <t>NonDeductible Costs</t>
  </si>
  <si>
    <t>Total w/ Premium</t>
  </si>
  <si>
    <t>Output Mean</t>
  </si>
  <si>
    <t>Effective Tax Rate</t>
  </si>
  <si>
    <t>HSA Contribution</t>
  </si>
  <si>
    <t>HSA Eligible?</t>
  </si>
  <si>
    <t>YES</t>
  </si>
  <si>
    <t>NO</t>
  </si>
  <si>
    <t>Member "C"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</si>
</sst>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9"/>
      <color rgb="FF000000"/>
      <name val="Tahoma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0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4" fillId="0" borderId="0" xfId="0" applyFont="1"/>
    <xf numFmtId="0" fontId="0" fillId="0" borderId="1" xfId="0" applyBorder="1"/>
    <xf numFmtId="165" fontId="1" fillId="2" borderId="0" xfId="1" applyNumberFormat="1" applyFont="1" applyFill="1" applyBorder="1"/>
    <xf numFmtId="9" fontId="3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5" fontId="3" fillId="2" borderId="0" xfId="1" applyNumberFormat="1" applyFont="1" applyFill="1" applyBorder="1"/>
    <xf numFmtId="0" fontId="3" fillId="0" borderId="0" xfId="0" applyFont="1"/>
    <xf numFmtId="9" fontId="3" fillId="0" borderId="0" xfId="2" applyFont="1" applyFill="1" applyAlignment="1">
      <alignment horizontal="center"/>
    </xf>
    <xf numFmtId="0" fontId="0" fillId="0" borderId="3" xfId="0" applyBorder="1"/>
    <xf numFmtId="165" fontId="3" fillId="2" borderId="4" xfId="1" applyNumberFormat="1" applyFont="1" applyFill="1" applyBorder="1"/>
    <xf numFmtId="0" fontId="5" fillId="0" borderId="0" xfId="0" applyFont="1"/>
    <xf numFmtId="6" fontId="3" fillId="0" borderId="0" xfId="0" applyNumberFormat="1" applyFont="1"/>
    <xf numFmtId="6" fontId="3" fillId="3" borderId="0" xfId="0" applyNumberFormat="1" applyFont="1" applyFill="1"/>
    <xf numFmtId="165" fontId="3" fillId="0" borderId="0" xfId="1" applyNumberFormat="1" applyFont="1" applyBorder="1"/>
    <xf numFmtId="165" fontId="3" fillId="0" borderId="0" xfId="0" applyNumberFormat="1" applyFont="1"/>
    <xf numFmtId="9" fontId="3" fillId="0" borderId="0" xfId="2" applyFont="1" applyBorder="1"/>
    <xf numFmtId="164" fontId="3" fillId="0" borderId="0" xfId="0" applyNumberFormat="1" applyFont="1"/>
    <xf numFmtId="6" fontId="0" fillId="0" borderId="0" xfId="0" applyNumberFormat="1"/>
    <xf numFmtId="0" fontId="0" fillId="4" borderId="0" xfId="0" applyFill="1"/>
    <xf numFmtId="44" fontId="0" fillId="0" borderId="0" xfId="1" applyFont="1"/>
    <xf numFmtId="0" fontId="7" fillId="0" borderId="0" xfId="0" applyFont="1"/>
    <xf numFmtId="9" fontId="0" fillId="0" borderId="0" xfId="0" applyNumberFormat="1"/>
    <xf numFmtId="1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66" fontId="0" fillId="0" borderId="0" xfId="0" applyNumberFormat="1"/>
    <xf numFmtId="8" fontId="0" fillId="0" borderId="0" xfId="0" applyNumberFormat="1"/>
    <xf numFmtId="165" fontId="0" fillId="0" borderId="0" xfId="0" applyNumberFormat="1"/>
    <xf numFmtId="8" fontId="3" fillId="0" borderId="0" xfId="0" applyNumberFormat="1" applyFont="1"/>
    <xf numFmtId="165" fontId="0" fillId="0" borderId="0" xfId="1" applyNumberFormat="1" applyFont="1"/>
    <xf numFmtId="6" fontId="3" fillId="3" borderId="0" xfId="0" applyNumberFormat="1" applyFont="1" applyFill="1" applyAlignment="1">
      <alignment horizontal="center"/>
    </xf>
    <xf numFmtId="0" fontId="0" fillId="0" borderId="0" xfId="0" applyFill="1"/>
    <xf numFmtId="6" fontId="3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6" fontId="3" fillId="0" borderId="0" xfId="0" applyNumberFormat="1" applyFont="1" applyFill="1" applyAlignment="1">
      <alignment horizontal="center"/>
    </xf>
    <xf numFmtId="0" fontId="5" fillId="0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4891-A887-1849-A311-9458200AB22B}">
  <dimension ref="A1:S38"/>
  <sheetViews>
    <sheetView tabSelected="1" zoomScale="115" zoomScaleNormal="115" workbookViewId="0">
      <pane xSplit="1" topLeftCell="B1" activePane="topRight" state="frozen"/>
      <selection pane="topRight" activeCell="F15" sqref="F15"/>
    </sheetView>
  </sheetViews>
  <sheetFormatPr baseColWidth="10" defaultColWidth="8.83203125" defaultRowHeight="15" x14ac:dyDescent="0.2"/>
  <cols>
    <col min="1" max="1" width="20.33203125" bestFit="1" customWidth="1"/>
    <col min="2" max="2" width="11" customWidth="1"/>
    <col min="3" max="3" width="17.33203125" bestFit="1" customWidth="1"/>
    <col min="4" max="5" width="17.33203125" customWidth="1"/>
    <col min="6" max="6" width="30" customWidth="1"/>
    <col min="7" max="7" width="11.1640625" bestFit="1" customWidth="1"/>
    <col min="8" max="8" width="13.1640625" bestFit="1" customWidth="1"/>
    <col min="9" max="9" width="13.83203125" style="12" bestFit="1" customWidth="1"/>
    <col min="10" max="10" width="9.6640625" customWidth="1"/>
    <col min="12" max="12" width="10.33203125" bestFit="1" customWidth="1"/>
    <col min="13" max="15" width="12.1640625" customWidth="1"/>
  </cols>
  <sheetData>
    <row r="1" spans="1:15" x14ac:dyDescent="0.2">
      <c r="A1" s="1" t="s">
        <v>0</v>
      </c>
      <c r="B1" s="2" t="s">
        <v>1</v>
      </c>
      <c r="C1" s="2" t="s">
        <v>35</v>
      </c>
      <c r="D1" s="2" t="s">
        <v>36</v>
      </c>
      <c r="E1" s="2" t="s">
        <v>50</v>
      </c>
      <c r="G1" s="22" t="s">
        <v>2</v>
      </c>
      <c r="H1" s="17" t="s">
        <v>3</v>
      </c>
      <c r="I1" s="17" t="s">
        <v>4</v>
      </c>
      <c r="J1" s="17" t="s">
        <v>5</v>
      </c>
      <c r="K1" s="4"/>
      <c r="L1" s="22" t="s">
        <v>6</v>
      </c>
      <c r="M1" s="22" t="s">
        <v>7</v>
      </c>
      <c r="N1" s="22" t="s">
        <v>8</v>
      </c>
      <c r="O1" s="22" t="s">
        <v>9</v>
      </c>
    </row>
    <row r="2" spans="1:15" x14ac:dyDescent="0.2">
      <c r="A2" s="5" t="s">
        <v>10</v>
      </c>
      <c r="B2" s="6">
        <v>200</v>
      </c>
      <c r="C2" s="28">
        <v>2</v>
      </c>
      <c r="D2" s="28">
        <v>2</v>
      </c>
      <c r="E2" s="28">
        <v>4</v>
      </c>
      <c r="F2" s="31"/>
      <c r="G2" s="7">
        <v>0.2</v>
      </c>
      <c r="H2" s="8">
        <v>30</v>
      </c>
      <c r="I2" s="8">
        <v>25</v>
      </c>
      <c r="J2" s="9">
        <v>25</v>
      </c>
      <c r="K2" s="10"/>
      <c r="L2" s="8">
        <v>20</v>
      </c>
      <c r="M2" s="8">
        <v>40</v>
      </c>
      <c r="N2" s="8">
        <v>40</v>
      </c>
      <c r="O2" s="7">
        <v>0</v>
      </c>
    </row>
    <row r="3" spans="1:15" x14ac:dyDescent="0.2">
      <c r="A3" s="5" t="s">
        <v>11</v>
      </c>
      <c r="B3" s="6">
        <v>400</v>
      </c>
      <c r="C3" s="28">
        <v>1</v>
      </c>
      <c r="D3" s="28">
        <v>1</v>
      </c>
      <c r="E3" s="28">
        <v>4</v>
      </c>
      <c r="F3" s="31"/>
      <c r="G3" s="7">
        <v>0.2</v>
      </c>
      <c r="H3" s="8">
        <v>60</v>
      </c>
      <c r="I3" s="8">
        <v>50</v>
      </c>
      <c r="J3" s="9">
        <v>50</v>
      </c>
      <c r="K3" s="10"/>
      <c r="L3" s="8">
        <v>30</v>
      </c>
      <c r="M3" s="8">
        <v>60</v>
      </c>
      <c r="N3" s="8">
        <v>60</v>
      </c>
      <c r="O3" s="7">
        <v>0</v>
      </c>
    </row>
    <row r="4" spans="1:15" x14ac:dyDescent="0.2">
      <c r="A4" s="5" t="s">
        <v>12</v>
      </c>
      <c r="B4" s="11">
        <v>235</v>
      </c>
      <c r="C4" s="28">
        <v>0</v>
      </c>
      <c r="D4" s="28">
        <v>0</v>
      </c>
      <c r="E4" s="28">
        <v>0</v>
      </c>
      <c r="F4" s="31"/>
      <c r="G4" s="7">
        <v>0.4</v>
      </c>
      <c r="H4" s="7">
        <v>0.5</v>
      </c>
      <c r="I4" s="7">
        <v>0.5</v>
      </c>
      <c r="J4" s="7">
        <v>0.5</v>
      </c>
      <c r="K4" s="10"/>
      <c r="L4" s="7">
        <v>0.5</v>
      </c>
      <c r="M4" s="7">
        <v>0.5</v>
      </c>
      <c r="N4" s="7">
        <v>0.5</v>
      </c>
      <c r="O4" s="7">
        <v>0.5</v>
      </c>
    </row>
    <row r="5" spans="1:15" x14ac:dyDescent="0.2">
      <c r="A5" s="5" t="s">
        <v>13</v>
      </c>
      <c r="B5" s="11">
        <v>120</v>
      </c>
      <c r="C5" s="28">
        <v>0</v>
      </c>
      <c r="D5" s="28">
        <v>3</v>
      </c>
      <c r="E5" s="28">
        <v>0</v>
      </c>
      <c r="F5" s="31"/>
      <c r="G5" s="7">
        <v>0.2</v>
      </c>
      <c r="H5" s="8">
        <v>60</v>
      </c>
      <c r="I5" s="9">
        <v>50</v>
      </c>
      <c r="J5" s="9">
        <v>50</v>
      </c>
      <c r="K5" s="10"/>
      <c r="L5" s="8">
        <v>30</v>
      </c>
      <c r="M5" s="8">
        <v>60</v>
      </c>
      <c r="N5" s="8">
        <v>60</v>
      </c>
      <c r="O5" s="7">
        <v>0</v>
      </c>
    </row>
    <row r="6" spans="1:15" x14ac:dyDescent="0.2">
      <c r="A6" s="5" t="s">
        <v>14</v>
      </c>
      <c r="B6" s="11">
        <v>20</v>
      </c>
      <c r="C6" s="28">
        <v>2</v>
      </c>
      <c r="D6" s="28">
        <v>2</v>
      </c>
      <c r="E6" s="28">
        <v>1</v>
      </c>
      <c r="F6" s="31"/>
      <c r="G6" s="7">
        <v>0.2</v>
      </c>
      <c r="H6" s="9">
        <v>15</v>
      </c>
      <c r="I6" s="9">
        <v>15</v>
      </c>
      <c r="J6" s="9">
        <v>15</v>
      </c>
      <c r="K6" s="10"/>
      <c r="L6" s="8">
        <v>8</v>
      </c>
      <c r="M6" s="8">
        <v>10</v>
      </c>
      <c r="N6" s="8">
        <v>25</v>
      </c>
      <c r="O6" s="7">
        <v>0</v>
      </c>
    </row>
    <row r="7" spans="1:15" x14ac:dyDescent="0.2">
      <c r="A7" s="5" t="s">
        <v>15</v>
      </c>
      <c r="B7" s="11">
        <v>100</v>
      </c>
      <c r="C7" s="28">
        <v>0.5</v>
      </c>
      <c r="D7" s="28">
        <v>1</v>
      </c>
      <c r="E7" s="28">
        <v>1</v>
      </c>
      <c r="F7" s="31"/>
      <c r="G7" s="7">
        <v>0.2</v>
      </c>
      <c r="H7" s="9">
        <v>45</v>
      </c>
      <c r="I7" s="9">
        <v>45</v>
      </c>
      <c r="J7" s="9">
        <v>45</v>
      </c>
      <c r="K7" s="10"/>
      <c r="L7" s="8">
        <v>30</v>
      </c>
      <c r="M7" s="8">
        <v>50</v>
      </c>
      <c r="N7" s="8">
        <v>60</v>
      </c>
      <c r="O7" s="7">
        <v>0</v>
      </c>
    </row>
    <row r="8" spans="1:15" x14ac:dyDescent="0.2">
      <c r="A8" s="5" t="s">
        <v>16</v>
      </c>
      <c r="B8" s="11">
        <v>250</v>
      </c>
      <c r="C8" s="28">
        <v>0</v>
      </c>
      <c r="D8" s="28">
        <v>1</v>
      </c>
      <c r="E8" s="28">
        <v>0</v>
      </c>
      <c r="F8" s="31"/>
      <c r="G8" s="7">
        <v>0.2</v>
      </c>
      <c r="H8" s="9">
        <v>75</v>
      </c>
      <c r="I8" s="9">
        <v>75</v>
      </c>
      <c r="J8" s="9">
        <v>75</v>
      </c>
      <c r="K8" s="10"/>
      <c r="L8" s="7">
        <v>0.5</v>
      </c>
      <c r="M8" s="7">
        <v>0.5</v>
      </c>
      <c r="N8" s="7">
        <v>0.5</v>
      </c>
      <c r="O8" s="7">
        <v>0</v>
      </c>
    </row>
    <row r="9" spans="1:15" x14ac:dyDescent="0.2">
      <c r="A9" s="5" t="s">
        <v>17</v>
      </c>
      <c r="B9" s="11">
        <v>300</v>
      </c>
      <c r="C9" s="28">
        <v>2</v>
      </c>
      <c r="D9" s="28">
        <v>2</v>
      </c>
      <c r="E9" s="28">
        <v>3</v>
      </c>
      <c r="F9" s="31"/>
      <c r="G9" s="7">
        <v>0.2</v>
      </c>
      <c r="H9" s="8">
        <v>60</v>
      </c>
      <c r="I9" s="8">
        <v>50</v>
      </c>
      <c r="J9" s="9">
        <v>50</v>
      </c>
      <c r="K9" s="10"/>
      <c r="L9" s="8">
        <v>30</v>
      </c>
      <c r="M9" s="8">
        <v>60</v>
      </c>
      <c r="N9" s="8">
        <v>60</v>
      </c>
      <c r="O9" s="7">
        <v>0</v>
      </c>
    </row>
    <row r="10" spans="1:15" x14ac:dyDescent="0.2">
      <c r="A10" s="5" t="s">
        <v>18</v>
      </c>
      <c r="B10" s="11">
        <v>3500</v>
      </c>
      <c r="C10" s="28">
        <v>1</v>
      </c>
      <c r="D10" s="28">
        <v>1</v>
      </c>
      <c r="E10" s="28">
        <v>1</v>
      </c>
      <c r="F10" s="31"/>
      <c r="G10" s="7">
        <v>0.2</v>
      </c>
      <c r="H10" s="8">
        <v>300</v>
      </c>
      <c r="I10" s="8">
        <v>300</v>
      </c>
      <c r="J10" s="9">
        <v>250</v>
      </c>
      <c r="K10" s="10"/>
      <c r="L10" s="8">
        <v>250</v>
      </c>
      <c r="M10" s="8">
        <v>300</v>
      </c>
      <c r="N10" s="8">
        <v>400</v>
      </c>
      <c r="O10" s="7">
        <v>0</v>
      </c>
    </row>
    <row r="11" spans="1:15" x14ac:dyDescent="0.2">
      <c r="A11" s="5" t="s">
        <v>19</v>
      </c>
      <c r="B11" s="11">
        <v>200</v>
      </c>
      <c r="C11" s="28">
        <v>1</v>
      </c>
      <c r="D11" s="28">
        <v>1</v>
      </c>
      <c r="E11" s="28">
        <v>1</v>
      </c>
      <c r="F11" s="31"/>
      <c r="G11" s="7">
        <v>0.2</v>
      </c>
      <c r="H11" s="7">
        <v>0.3</v>
      </c>
      <c r="I11" s="7">
        <v>0.2</v>
      </c>
      <c r="J11" s="7">
        <v>0.2</v>
      </c>
      <c r="K11" s="10"/>
      <c r="L11" s="7">
        <v>0.1</v>
      </c>
      <c r="M11" s="7">
        <v>0.2</v>
      </c>
      <c r="N11" s="13">
        <v>0.35</v>
      </c>
      <c r="O11" s="7">
        <v>0</v>
      </c>
    </row>
    <row r="12" spans="1:15" x14ac:dyDescent="0.2">
      <c r="A12" s="5" t="s">
        <v>20</v>
      </c>
      <c r="B12" s="11">
        <v>25000</v>
      </c>
      <c r="C12" s="28">
        <v>0</v>
      </c>
      <c r="D12" s="28">
        <v>0</v>
      </c>
      <c r="E12" s="28">
        <v>0</v>
      </c>
      <c r="F12" s="31"/>
      <c r="G12" s="7">
        <v>0.2</v>
      </c>
      <c r="H12" s="7">
        <v>0.3</v>
      </c>
      <c r="I12" s="7">
        <v>0.2</v>
      </c>
      <c r="J12" s="7">
        <v>0.2</v>
      </c>
      <c r="K12" s="10"/>
      <c r="L12" s="7">
        <v>0.1</v>
      </c>
      <c r="M12" s="7">
        <v>0.2</v>
      </c>
      <c r="N12" s="7">
        <v>0.35</v>
      </c>
      <c r="O12" s="7">
        <v>0</v>
      </c>
    </row>
    <row r="13" spans="1:15" x14ac:dyDescent="0.2">
      <c r="A13" s="5" t="s">
        <v>21</v>
      </c>
      <c r="B13" s="11">
        <v>50000</v>
      </c>
      <c r="C13" s="29">
        <v>5.0000000000000001E-3</v>
      </c>
      <c r="D13" s="29">
        <v>5.0000000000000001E-3</v>
      </c>
      <c r="E13" s="29">
        <v>5.0000000000000001E-3</v>
      </c>
      <c r="F13" s="31"/>
      <c r="G13" s="7">
        <v>0.2</v>
      </c>
      <c r="H13" s="7">
        <v>0.3</v>
      </c>
      <c r="I13" s="7">
        <v>0.2</v>
      </c>
      <c r="J13" s="7">
        <v>0.2</v>
      </c>
      <c r="K13" s="10"/>
      <c r="L13" s="7">
        <v>0.1</v>
      </c>
      <c r="M13" s="7">
        <v>0.2</v>
      </c>
      <c r="N13" s="7">
        <v>0.35</v>
      </c>
      <c r="O13" s="7">
        <v>0</v>
      </c>
    </row>
    <row r="14" spans="1:15" x14ac:dyDescent="0.2">
      <c r="A14" s="14" t="s">
        <v>22</v>
      </c>
      <c r="B14" s="15">
        <v>15000</v>
      </c>
      <c r="C14" s="30">
        <v>0.01</v>
      </c>
      <c r="D14" s="30">
        <v>0.01</v>
      </c>
      <c r="E14" s="30">
        <v>0.01</v>
      </c>
      <c r="F14" s="31"/>
      <c r="G14" s="7">
        <v>0.2</v>
      </c>
      <c r="H14" s="7">
        <v>0.3</v>
      </c>
      <c r="I14" s="7">
        <v>0.2</v>
      </c>
      <c r="J14" s="7">
        <v>0.2</v>
      </c>
      <c r="K14" s="10"/>
      <c r="L14" s="7">
        <v>0.05</v>
      </c>
      <c r="M14" s="7">
        <v>0.1</v>
      </c>
      <c r="N14" s="7">
        <v>0.25</v>
      </c>
      <c r="O14" s="7">
        <v>0</v>
      </c>
    </row>
    <row r="15" spans="1:15" x14ac:dyDescent="0.2">
      <c r="G15" s="4"/>
      <c r="H15" s="4"/>
      <c r="J15" s="4"/>
      <c r="K15" s="4"/>
      <c r="L15" s="4"/>
      <c r="M15" s="16"/>
      <c r="N15" s="4"/>
      <c r="O15" s="4"/>
    </row>
    <row r="16" spans="1:15" x14ac:dyDescent="0.2">
      <c r="A16" t="s">
        <v>45</v>
      </c>
      <c r="B16" s="27">
        <v>0.24</v>
      </c>
      <c r="C16" s="27"/>
      <c r="D16" s="27"/>
      <c r="E16" s="27"/>
      <c r="F16" t="s">
        <v>23</v>
      </c>
      <c r="G16" s="8">
        <f>273*12</f>
        <v>3276</v>
      </c>
      <c r="H16" s="17">
        <f>333*12</f>
        <v>3996</v>
      </c>
      <c r="I16" s="17">
        <f>488*12</f>
        <v>5856</v>
      </c>
      <c r="J16" s="17">
        <f>776*12</f>
        <v>9312</v>
      </c>
      <c r="K16" s="4"/>
      <c r="L16" s="17">
        <f>(2229.72-782.36)*0.7*12</f>
        <v>12157.823999999997</v>
      </c>
      <c r="M16" s="17">
        <f>(1826.22-640.78)*0.7*12</f>
        <v>9957.6959999999999</v>
      </c>
      <c r="N16" s="17">
        <f>(1502.37-527.15)*0.7*12</f>
        <v>8191.8479999999981</v>
      </c>
      <c r="O16" s="17">
        <f>(1515.23-531.66)*0.7*12</f>
        <v>8261.9880000000012</v>
      </c>
    </row>
    <row r="17" spans="1:19" x14ac:dyDescent="0.2">
      <c r="A17" t="s">
        <v>46</v>
      </c>
      <c r="B17" s="23">
        <v>8550</v>
      </c>
      <c r="F17" t="s">
        <v>25</v>
      </c>
      <c r="G17" s="17">
        <v>3200</v>
      </c>
      <c r="H17" s="17">
        <v>5500</v>
      </c>
      <c r="I17" s="17">
        <v>2000</v>
      </c>
      <c r="J17" s="17">
        <v>500</v>
      </c>
      <c r="K17" s="4"/>
      <c r="L17" s="17">
        <v>500</v>
      </c>
      <c r="M17" s="17">
        <v>1250</v>
      </c>
      <c r="N17" s="17">
        <v>3750</v>
      </c>
      <c r="O17" s="17">
        <v>4850</v>
      </c>
      <c r="P17" s="17"/>
      <c r="Q17" s="17"/>
    </row>
    <row r="18" spans="1:19" x14ac:dyDescent="0.2">
      <c r="F18" s="3" t="s">
        <v>27</v>
      </c>
      <c r="G18" s="17">
        <v>6000</v>
      </c>
      <c r="H18" s="17">
        <v>7000</v>
      </c>
      <c r="I18" s="17">
        <v>6000</v>
      </c>
      <c r="J18" s="17">
        <v>1500</v>
      </c>
      <c r="K18" s="37"/>
      <c r="L18" s="38">
        <v>3000</v>
      </c>
      <c r="M18" s="38">
        <v>8550</v>
      </c>
      <c r="N18" s="38">
        <v>8550</v>
      </c>
      <c r="O18" s="38">
        <v>8550</v>
      </c>
      <c r="Q18" s="16"/>
      <c r="S18" s="4"/>
    </row>
    <row r="19" spans="1:19" x14ac:dyDescent="0.2">
      <c r="A19" s="24" t="s">
        <v>30</v>
      </c>
      <c r="F19" t="s">
        <v>24</v>
      </c>
      <c r="G19" s="18">
        <v>6400</v>
      </c>
      <c r="H19" s="17">
        <v>11000</v>
      </c>
      <c r="I19" s="17">
        <v>6000</v>
      </c>
      <c r="J19" s="17">
        <v>1000</v>
      </c>
      <c r="K19" s="39"/>
      <c r="L19" s="38">
        <v>1000</v>
      </c>
      <c r="M19" s="38">
        <v>2500</v>
      </c>
      <c r="N19" s="38">
        <v>7500</v>
      </c>
      <c r="O19" s="38">
        <v>9700</v>
      </c>
      <c r="P19" s="8"/>
    </row>
    <row r="20" spans="1:19" x14ac:dyDescent="0.2">
      <c r="A20" t="s">
        <v>32</v>
      </c>
      <c r="B20" s="25" cm="1">
        <f t="array" ref="B20">SUMPRODUCT(B2:B14*(C2:E14))</f>
        <v>19360</v>
      </c>
      <c r="C20" s="25"/>
      <c r="D20" s="25"/>
      <c r="E20" s="25"/>
      <c r="F20" t="s">
        <v>26</v>
      </c>
      <c r="G20" s="18">
        <v>12000</v>
      </c>
      <c r="H20" s="17">
        <v>14000</v>
      </c>
      <c r="I20" s="17">
        <v>12000</v>
      </c>
      <c r="J20" s="17">
        <v>3000</v>
      </c>
      <c r="K20" s="39"/>
      <c r="L20" s="38">
        <v>6000</v>
      </c>
      <c r="M20" s="38">
        <v>17100</v>
      </c>
      <c r="N20" s="38">
        <v>17100</v>
      </c>
      <c r="O20" s="38">
        <v>9700</v>
      </c>
      <c r="P20" s="17"/>
    </row>
    <row r="21" spans="1:19" x14ac:dyDescent="0.2">
      <c r="B21" s="25"/>
      <c r="C21" s="25"/>
      <c r="D21" s="25"/>
      <c r="E21" s="25"/>
      <c r="F21" t="s">
        <v>47</v>
      </c>
      <c r="G21" s="36" t="s">
        <v>48</v>
      </c>
      <c r="H21" s="8" t="s">
        <v>49</v>
      </c>
      <c r="J21" s="8" t="s">
        <v>49</v>
      </c>
      <c r="K21" s="40"/>
      <c r="L21" s="41" t="s">
        <v>49</v>
      </c>
      <c r="M21" s="42"/>
      <c r="N21" s="41" t="s">
        <v>49</v>
      </c>
      <c r="O21" s="41" t="s">
        <v>48</v>
      </c>
      <c r="P21" s="17"/>
    </row>
    <row r="22" spans="1:19" x14ac:dyDescent="0.2">
      <c r="G22" s="4"/>
      <c r="H22" s="4"/>
      <c r="J22" s="4"/>
      <c r="K22" s="4"/>
      <c r="L22" s="4"/>
      <c r="N22" s="4"/>
      <c r="O22" s="4"/>
      <c r="P22" s="17"/>
    </row>
    <row r="23" spans="1:19" x14ac:dyDescent="0.2">
      <c r="F23" s="24" t="s">
        <v>31</v>
      </c>
      <c r="I23" s="23">
        <f>I16</f>
        <v>5856</v>
      </c>
      <c r="M23" s="23">
        <f>M16</f>
        <v>9957.6959999999999</v>
      </c>
      <c r="P23" s="4"/>
    </row>
    <row r="24" spans="1:19" x14ac:dyDescent="0.2">
      <c r="F24" t="s">
        <v>29</v>
      </c>
      <c r="G24" s="23">
        <f>G16</f>
        <v>3276</v>
      </c>
      <c r="H24" s="23">
        <f>H16</f>
        <v>3996</v>
      </c>
      <c r="I24" s="23">
        <f>SUM(I16,I20)</f>
        <v>17856</v>
      </c>
      <c r="J24" s="23">
        <f>J16</f>
        <v>9312</v>
      </c>
      <c r="L24" s="23">
        <f>L16</f>
        <v>12157.823999999997</v>
      </c>
      <c r="M24" s="23">
        <f>SUM(M16,M20)</f>
        <v>27057.696</v>
      </c>
      <c r="N24" s="23">
        <f>N16</f>
        <v>8191.8479999999981</v>
      </c>
      <c r="O24" s="23">
        <f>O16</f>
        <v>8261.9880000000012</v>
      </c>
      <c r="P24" s="19"/>
    </row>
    <row r="25" spans="1:19" x14ac:dyDescent="0.2">
      <c r="F25" t="s">
        <v>28</v>
      </c>
      <c r="G25" s="23">
        <f>SUM(G16,G20)</f>
        <v>15276</v>
      </c>
      <c r="H25" s="23">
        <f>SUM(H16,H20)</f>
        <v>17996</v>
      </c>
      <c r="I25" s="12">
        <v>17906</v>
      </c>
      <c r="J25" s="23">
        <f>SUM(J16,J20)</f>
        <v>12312</v>
      </c>
      <c r="L25" s="23">
        <f>SUM(L16,L20)</f>
        <v>18157.823999999997</v>
      </c>
      <c r="M25">
        <v>24223</v>
      </c>
      <c r="N25" s="23">
        <f>SUM(N16,N20)</f>
        <v>25291.847999999998</v>
      </c>
      <c r="O25" s="23">
        <f>SUM(O16,O20)</f>
        <v>17961.988000000001</v>
      </c>
      <c r="P25" s="19"/>
    </row>
    <row r="26" spans="1:19" x14ac:dyDescent="0.2">
      <c r="F26" s="26" t="s">
        <v>33</v>
      </c>
      <c r="G26">
        <v>15976</v>
      </c>
      <c r="H26">
        <v>18056</v>
      </c>
      <c r="I26" s="23">
        <f>I24-I25</f>
        <v>-50</v>
      </c>
      <c r="J26">
        <v>12512</v>
      </c>
      <c r="L26">
        <v>18407</v>
      </c>
      <c r="M26" s="23">
        <f>M24-M25</f>
        <v>2834.6959999999999</v>
      </c>
      <c r="N26">
        <v>23835</v>
      </c>
      <c r="O26">
        <v>17022</v>
      </c>
      <c r="P26" s="12"/>
    </row>
    <row r="27" spans="1:19" x14ac:dyDescent="0.2">
      <c r="F27" t="s">
        <v>34</v>
      </c>
      <c r="G27" s="23">
        <f>G25-G26</f>
        <v>-700</v>
      </c>
      <c r="H27" s="23">
        <f>H25-H26</f>
        <v>-60</v>
      </c>
      <c r="I27" s="23">
        <f>I16/12</f>
        <v>488</v>
      </c>
      <c r="J27" s="23">
        <f>J25-J26</f>
        <v>-200</v>
      </c>
      <c r="L27" s="23">
        <f>L25-L26</f>
        <v>-249.17600000000311</v>
      </c>
      <c r="M27" s="23">
        <f>M16/12</f>
        <v>829.80799999999999</v>
      </c>
      <c r="N27" s="23">
        <f>N25-N26</f>
        <v>1456.8479999999981</v>
      </c>
      <c r="O27" s="23">
        <f>O25-O26</f>
        <v>939.98800000000119</v>
      </c>
      <c r="P27" s="20"/>
    </row>
    <row r="28" spans="1:19" x14ac:dyDescent="0.2">
      <c r="G28" s="23">
        <f>G16/12</f>
        <v>273</v>
      </c>
      <c r="H28" s="23">
        <f>H16/12</f>
        <v>333</v>
      </c>
      <c r="I28" s="23" cm="1">
        <f t="array" ref="I28">SUMPRODUCT(I2:I3*(InputParms!$C$2:$D$3))+SUMPRODUCT(I5:I10*(InputParms!$C$5:$D$10))</f>
        <v>1352.5</v>
      </c>
      <c r="J28" s="23">
        <f>J16/12</f>
        <v>776</v>
      </c>
      <c r="L28" s="23">
        <f>L16/12</f>
        <v>1013.1519999999997</v>
      </c>
      <c r="M28" s="17" cm="1">
        <f t="array" ref="M28">SUMPRODUCT(M2:M3*(InputParms!$C$2:$D$3))+SUMPRODUCT(M5:M7*(InputParms!$C$5:$D$7))+SUMPRODUCT(M9:M10*(InputParms!$C$9:$D$10))</f>
        <v>1415</v>
      </c>
      <c r="N28" s="23">
        <f>N16/12</f>
        <v>682.65399999999988</v>
      </c>
      <c r="O28" s="23">
        <f>O16/12</f>
        <v>688.49900000000014</v>
      </c>
      <c r="P28" s="21"/>
    </row>
    <row r="29" spans="1:19" x14ac:dyDescent="0.2">
      <c r="F29" t="s">
        <v>42</v>
      </c>
      <c r="G29" s="23">
        <f>0</f>
        <v>0</v>
      </c>
      <c r="H29" s="23" cm="1">
        <f t="array" ref="H29">SUMPRODUCT(H2:H3*($C$2:$E$3))+SUMPRODUCT(H5:H10*($C$5:$E$10))</f>
        <v>2362.5</v>
      </c>
      <c r="I29" s="33" cm="1">
        <f t="array" ref="I29">SUMPRODUCT(InputParms!$B$4*(InputParms!$C$4:$D$4))+SUMPRODUCT(InputParms!$B$11:$B$14*(InputParms!$C$11:$D$14))</f>
        <v>1200</v>
      </c>
      <c r="J29" s="17" cm="1">
        <f t="array" ref="J29">SUMPRODUCT(J2:J3*($C$2:$E$3))+SUMPRODUCT(J5:J10*($C$5:$E$10))</f>
        <v>2012.5</v>
      </c>
      <c r="L29" s="17" cm="1">
        <f t="array" ref="L29">SUMPRODUCT(L2:L3*($C$2:$E$3))+SUMPRODUCT(L5:L7*($C$5:$E$7))+SUMPRODUCT(L9:L10*($C$9:$E$10))</f>
        <v>1505</v>
      </c>
      <c r="M29" s="20" cm="1">
        <f t="array" ref="M29">SUMPRODUCT(InputParms!$B$4*(InputParms!$C$4:$D$4))+SUMPRODUCT(InputParms!$B$11:$B$14*(InputParms!$C$11:$D$14))+SUMPRODUCT(InputParms!$B$8*(InputParms!$C$8:$D$8))</f>
        <v>1450</v>
      </c>
      <c r="N29" s="17" cm="1">
        <f t="array" ref="N29">SUMPRODUCT(N2:N3*($C$2:$E$3))+SUMPRODUCT(N5:N7*($C$5:$E$7))+SUMPRODUCT(N9:N10*($C$9:$E$10))</f>
        <v>2755</v>
      </c>
      <c r="O29" s="23">
        <f>0</f>
        <v>0</v>
      </c>
      <c r="P29" s="21"/>
    </row>
    <row r="30" spans="1:19" x14ac:dyDescent="0.2">
      <c r="F30" t="s">
        <v>37</v>
      </c>
      <c r="G30" s="35" cm="1">
        <f t="array" ref="G30">SUMPRODUCT($B$2:$B$14*($C$2:$E$14))</f>
        <v>19360</v>
      </c>
      <c r="H30" s="33" cm="1">
        <f t="array" ref="H30">SUMPRODUCT($B$4*($C$4:$E$4))+SUMPRODUCT($B$11:$B$14*($C$11:$E$14))</f>
        <v>1800</v>
      </c>
      <c r="I30" t="b">
        <f>I29&gt;I19</f>
        <v>0</v>
      </c>
      <c r="J30" s="20" cm="1">
        <f t="array" ref="J30">SUMPRODUCT($B$4*($C$4:$E$4))+SUMPRODUCT($B$11:$B$14*($C$11:$E$14))</f>
        <v>1800</v>
      </c>
      <c r="L30" s="20" cm="1">
        <f t="array" ref="L30">SUMPRODUCT($B$4*($C$4:$E$4))+SUMPRODUCT($B$11:$B$14*($C$11:$E$14))+SUMPRODUCT($B$8*($C$8:$E$8))</f>
        <v>2050</v>
      </c>
      <c r="M30" s="12" t="b">
        <f>M29&gt;M19</f>
        <v>0</v>
      </c>
      <c r="N30" s="20" cm="1">
        <f t="array" ref="N30">SUMPRODUCT($B$4*($C$4:$E$4))+SUMPRODUCT($B$11:$B$14*($C$11:$E$14))+SUMPRODUCT($B$8*($C$8:$E$8))</f>
        <v>2050</v>
      </c>
      <c r="O30" s="35" cm="1">
        <f t="array" ref="O30">SUMPRODUCT($B$2:$B$14*($C$2:$E$14))</f>
        <v>19360</v>
      </c>
      <c r="P30" s="20"/>
    </row>
    <row r="31" spans="1:19" x14ac:dyDescent="0.2">
      <c r="F31" t="s">
        <v>38</v>
      </c>
      <c r="G31" t="b">
        <f>G30&gt;G19</f>
        <v>1</v>
      </c>
      <c r="H31" t="b">
        <f>H30&gt;H19</f>
        <v>0</v>
      </c>
      <c r="I31" s="32">
        <f>IF(I30,(I29-I19)*AVERAGE(I4,I11:I14),0)</f>
        <v>0</v>
      </c>
      <c r="J31" s="12" t="b">
        <f>J30&gt;J19</f>
        <v>1</v>
      </c>
      <c r="L31" s="12" t="b">
        <f>L30&gt;L19</f>
        <v>1</v>
      </c>
      <c r="M31" s="34">
        <f>IF(M30,(M29-M19)*AVERAGE(M4,M11:M14,M8),0)</f>
        <v>0</v>
      </c>
      <c r="N31" s="12" t="b">
        <f>N30&gt;N19</f>
        <v>0</v>
      </c>
      <c r="O31" t="b">
        <f>O30&gt;O19</f>
        <v>1</v>
      </c>
      <c r="P31" s="20"/>
    </row>
    <row r="32" spans="1:19" x14ac:dyDescent="0.2">
      <c r="F32" t="s">
        <v>39</v>
      </c>
      <c r="G32" s="32">
        <f>IF(G31,(G30-G19)*AVERAGE(G2:G14),0)</f>
        <v>2791.3846153846157</v>
      </c>
      <c r="H32" s="32">
        <f>IF(H31,(H30-H19)*AVERAGE(H4,H11:H14),0)</f>
        <v>0</v>
      </c>
      <c r="I32" t="b">
        <f>IF(I30,I31+I19&gt;I20,I29&gt;I20)</f>
        <v>0</v>
      </c>
      <c r="J32" s="34">
        <f>IF(J31,(J30-J19)*AVERAGE(J4,J11:J14),0)</f>
        <v>207.99999999999997</v>
      </c>
      <c r="L32" s="34">
        <f>IF(L31,(L30-L19)*AVERAGE(L4,L11:L14,L8),0)</f>
        <v>236.25</v>
      </c>
      <c r="M32" s="12" t="b">
        <f>IF(M30,M31+M19&gt;M20,M29&gt;M20)</f>
        <v>0</v>
      </c>
      <c r="N32" s="34">
        <f>IF(N31,(N30-N19)*AVERAGE(N4,N11:N14,N8),0)</f>
        <v>0</v>
      </c>
      <c r="O32" s="32">
        <f>IF(O31,(O30-O19)*AVERAGE(O2:O14),0)</f>
        <v>371.53846153846155</v>
      </c>
      <c r="P32" s="12"/>
    </row>
    <row r="33" spans="6:16" x14ac:dyDescent="0.2">
      <c r="F33" t="s">
        <v>40</v>
      </c>
      <c r="G33" t="b">
        <f>IF(G31,G32+G19&gt;G20,G30&gt;G20)</f>
        <v>0</v>
      </c>
      <c r="H33" t="b">
        <f>IF(H31,H32+H19&gt;H20,H30&gt;H20)</f>
        <v>0</v>
      </c>
      <c r="I33" s="32">
        <f>IF(I32,I20,IF(I30,I31+I19,I29))+I28</f>
        <v>2552.5</v>
      </c>
      <c r="J33" s="12" t="b">
        <f>IF(J31,J32+J19&gt;J20,J30&gt;J20)</f>
        <v>0</v>
      </c>
      <c r="L33" s="12" t="b">
        <f>IF(L31,L32+L19&gt;L20,L30&gt;L20)</f>
        <v>0</v>
      </c>
      <c r="M33" s="34">
        <f>IF(M32,M20,IF(M30,M31+M19,M29))+M28</f>
        <v>2865</v>
      </c>
      <c r="N33" s="12" t="b">
        <f>IF(N31,N32+N19&gt;N20,N30&gt;N20)</f>
        <v>0</v>
      </c>
      <c r="O33" t="b">
        <f>IF(O31,O32+O19&gt;O20,O30&gt;O20)</f>
        <v>1</v>
      </c>
      <c r="P33" s="4"/>
    </row>
    <row r="34" spans="6:16" x14ac:dyDescent="0.2">
      <c r="F34" t="s">
        <v>41</v>
      </c>
      <c r="G34" s="32">
        <f>IF(G33,G20,IF(G31,G32+G19,G30))+G29</f>
        <v>9191.3846153846152</v>
      </c>
      <c r="H34" s="32">
        <f>IF(H33,H20,IF(H31,H32+H19,H30))+H29</f>
        <v>4162.5</v>
      </c>
      <c r="I34" s="23">
        <f>I33+I16</f>
        <v>8408.5</v>
      </c>
      <c r="J34" s="34">
        <f>IF(J33,J20,IF(J31,J32+J19,J30))+J29</f>
        <v>3220.5</v>
      </c>
      <c r="L34" s="34">
        <f>IF(L33,L20,IF(L31,L32+L19,L30))+L29</f>
        <v>2741.25</v>
      </c>
      <c r="M34" s="17">
        <f>M33+M16</f>
        <v>12822.696</v>
      </c>
      <c r="N34" s="34">
        <f>IF(N33,N20,IF(N31,N32+N19,N30))+N29</f>
        <v>4805</v>
      </c>
      <c r="O34" s="32">
        <f>IF(O33,O20,IF(O31,O32+O19,O30))+O29</f>
        <v>9700</v>
      </c>
      <c r="P34" s="20"/>
    </row>
    <row r="35" spans="6:16" x14ac:dyDescent="0.2">
      <c r="F35" t="s">
        <v>43</v>
      </c>
      <c r="G35" s="23">
        <f>G34+G16</f>
        <v>12467.384615384615</v>
      </c>
      <c r="H35" s="23">
        <f>H34+H16</f>
        <v>8158.5</v>
      </c>
      <c r="I35" s="12">
        <v>14180</v>
      </c>
      <c r="J35" s="17">
        <f>J34+J16</f>
        <v>12532.5</v>
      </c>
      <c r="L35" s="17">
        <f>L34+L16</f>
        <v>14899.073999999997</v>
      </c>
      <c r="N35" s="17">
        <f>N34+N16</f>
        <v>12996.847999999998</v>
      </c>
      <c r="O35" s="23">
        <f>O34+O16</f>
        <v>17961.988000000001</v>
      </c>
      <c r="P35" s="12"/>
    </row>
    <row r="36" spans="6:16" x14ac:dyDescent="0.2">
      <c r="F36" s="26" t="s">
        <v>44</v>
      </c>
      <c r="G36">
        <v>15203</v>
      </c>
      <c r="H36">
        <v>13221</v>
      </c>
      <c r="I36" s="23">
        <f>I34-I35</f>
        <v>-5771.5</v>
      </c>
      <c r="J36">
        <v>12318</v>
      </c>
      <c r="L36">
        <v>17567</v>
      </c>
      <c r="M36" s="23">
        <f>M34-M35</f>
        <v>12822.696</v>
      </c>
      <c r="P36" s="20"/>
    </row>
    <row r="37" spans="6:16" x14ac:dyDescent="0.2">
      <c r="F37" t="s">
        <v>34</v>
      </c>
      <c r="G37" s="23">
        <f>G35-G36</f>
        <v>-2735.6153846153848</v>
      </c>
      <c r="H37" s="23">
        <f>H35-H36</f>
        <v>-5062.5</v>
      </c>
      <c r="J37" s="23">
        <f>J35-J36</f>
        <v>214.5</v>
      </c>
      <c r="L37" s="23">
        <f>L35-L36</f>
        <v>-2667.9260000000031</v>
      </c>
      <c r="N37" s="23">
        <f>N35-N36</f>
        <v>12996.847999999998</v>
      </c>
      <c r="O37" s="23">
        <f>O35-O36</f>
        <v>17961.988000000001</v>
      </c>
      <c r="P37" s="19"/>
    </row>
    <row r="38" spans="6:16" x14ac:dyDescent="0.2">
      <c r="P38" s="19"/>
    </row>
  </sheetData>
  <dataValidations count="1">
    <dataValidation type="list" allowBlank="1" showInputMessage="1" showErrorMessage="1" sqref="G21:O21" xr:uid="{2464005F-F9F1-9D4D-B741-989E515CAA95}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InputParms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 Griffith</dc:creator>
  <cp:lastModifiedBy>Beau Griffith</cp:lastModifiedBy>
  <dcterms:created xsi:type="dcterms:W3CDTF">2024-12-24T17:27:34Z</dcterms:created>
  <dcterms:modified xsi:type="dcterms:W3CDTF">2025-09-04T02:30:23Z</dcterms:modified>
</cp:coreProperties>
</file>